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lottery\"/>
    </mc:Choice>
  </mc:AlternateContent>
  <xr:revisionPtr revIDLastSave="0" documentId="13_ncr:1_{5E244BC6-8B29-4D56-ACA5-7B903CBFB6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2" r:id="rId1"/>
  </sheets>
  <definedNames>
    <definedName name="_xlnm._FilterDatabase" localSheetId="0" hidden="1">Sheet1!$A$1:$U$1</definedName>
  </definedNames>
  <calcPr calcId="191029"/>
</workbook>
</file>

<file path=xl/calcChain.xml><?xml version="1.0" encoding="utf-8"?>
<calcChain xmlns="http://schemas.openxmlformats.org/spreadsheetml/2006/main">
  <c r="C68" i="2" l="1"/>
  <c r="C69" i="2"/>
  <c r="C70" i="2"/>
  <c r="C71" i="2"/>
  <c r="C72" i="2"/>
  <c r="C73" i="2"/>
  <c r="C74" i="2"/>
  <c r="C75" i="2"/>
  <c r="C76" i="2"/>
  <c r="C77" i="2"/>
  <c r="C67" i="2"/>
  <c r="D3" i="2"/>
  <c r="C3" i="2" s="1"/>
  <c r="D5" i="2"/>
  <c r="C5" i="2" s="1"/>
  <c r="D6" i="2"/>
  <c r="C6" i="2" s="1"/>
  <c r="D7" i="2"/>
  <c r="C7" i="2" s="1"/>
  <c r="D8" i="2"/>
  <c r="C8" i="2" s="1"/>
  <c r="D9" i="2"/>
  <c r="C9" i="2" s="1"/>
  <c r="D10" i="2"/>
  <c r="C10" i="2" s="1"/>
  <c r="D11" i="2"/>
  <c r="C11" i="2" s="1"/>
  <c r="D12" i="2"/>
  <c r="C12" i="2" s="1"/>
  <c r="D13" i="2"/>
  <c r="C13" i="2" s="1"/>
  <c r="D14" i="2"/>
  <c r="C14" i="2" s="1"/>
  <c r="D15" i="2"/>
  <c r="C15" i="2" s="1"/>
  <c r="D16" i="2"/>
  <c r="C16" i="2" s="1"/>
  <c r="D17" i="2"/>
  <c r="C17" i="2" s="1"/>
  <c r="D18" i="2"/>
  <c r="C18" i="2" s="1"/>
  <c r="D19" i="2"/>
  <c r="C19" i="2" s="1"/>
  <c r="D20" i="2"/>
  <c r="C20" i="2" s="1"/>
  <c r="D21" i="2"/>
  <c r="C21" i="2" s="1"/>
  <c r="D22" i="2"/>
  <c r="C22" i="2" s="1"/>
  <c r="D23" i="2"/>
  <c r="C23" i="2" s="1"/>
  <c r="D24" i="2"/>
  <c r="C24" i="2" s="1"/>
  <c r="D25" i="2"/>
  <c r="C25" i="2" s="1"/>
  <c r="D26" i="2"/>
  <c r="C26" i="2" s="1"/>
  <c r="D27" i="2"/>
  <c r="C27" i="2" s="1"/>
  <c r="D28" i="2"/>
  <c r="C28" i="2" s="1"/>
  <c r="D29" i="2"/>
  <c r="C29" i="2" s="1"/>
  <c r="D30" i="2"/>
  <c r="C30" i="2" s="1"/>
  <c r="D31" i="2"/>
  <c r="C31" i="2" s="1"/>
  <c r="D32" i="2"/>
  <c r="C32" i="2" s="1"/>
  <c r="D33" i="2"/>
  <c r="C33" i="2" s="1"/>
  <c r="D34" i="2"/>
  <c r="C34" i="2" s="1"/>
  <c r="D35" i="2"/>
  <c r="C35" i="2" s="1"/>
  <c r="D36" i="2"/>
  <c r="C36" i="2" s="1"/>
  <c r="D37" i="2"/>
  <c r="C37" i="2" s="1"/>
  <c r="D38" i="2"/>
  <c r="C38" i="2" s="1"/>
  <c r="D39" i="2"/>
  <c r="C39" i="2" s="1"/>
  <c r="D40" i="2"/>
  <c r="C40" i="2" s="1"/>
  <c r="D41" i="2"/>
  <c r="C41" i="2" s="1"/>
  <c r="D42" i="2"/>
  <c r="C42" i="2" s="1"/>
  <c r="D43" i="2"/>
  <c r="C43" i="2" s="1"/>
  <c r="D44" i="2"/>
  <c r="C44" i="2" s="1"/>
  <c r="D45" i="2"/>
  <c r="C45" i="2" s="1"/>
  <c r="D46" i="2"/>
  <c r="C46" i="2" s="1"/>
  <c r="D48" i="2"/>
  <c r="C48" i="2" s="1"/>
  <c r="D50" i="2"/>
  <c r="C50" i="2" s="1"/>
  <c r="D51" i="2"/>
  <c r="C51" i="2" s="1"/>
  <c r="D52" i="2"/>
  <c r="C52" i="2" s="1"/>
  <c r="D53" i="2"/>
  <c r="C53" i="2" s="1"/>
  <c r="D54" i="2"/>
  <c r="C54" i="2" s="1"/>
  <c r="D56" i="2"/>
  <c r="C56" i="2" s="1"/>
  <c r="D57" i="2"/>
  <c r="C57" i="2" s="1"/>
  <c r="D58" i="2"/>
  <c r="C58" i="2" s="1"/>
  <c r="D59" i="2"/>
  <c r="C59" i="2" s="1"/>
  <c r="D60" i="2"/>
  <c r="C60" i="2" s="1"/>
  <c r="D61" i="2"/>
  <c r="C61" i="2" s="1"/>
  <c r="D62" i="2"/>
  <c r="C62" i="2" s="1"/>
  <c r="D63" i="2"/>
  <c r="C63" i="2" s="1"/>
  <c r="D64" i="2"/>
  <c r="C64" i="2" s="1"/>
  <c r="D66" i="2"/>
  <c r="C66" i="2" s="1"/>
  <c r="D67" i="2"/>
  <c r="D68" i="2"/>
  <c r="D69" i="2"/>
  <c r="D47" i="2"/>
  <c r="C47" i="2" s="1"/>
  <c r="D70" i="2"/>
  <c r="D71" i="2"/>
  <c r="D72" i="2"/>
  <c r="D73" i="2"/>
  <c r="D49" i="2"/>
  <c r="C49" i="2" s="1"/>
  <c r="D74" i="2"/>
  <c r="D4" i="2"/>
  <c r="C4" i="2" s="1"/>
  <c r="D75" i="2"/>
  <c r="D76" i="2"/>
  <c r="D55" i="2"/>
  <c r="C55" i="2" s="1"/>
  <c r="D77" i="2"/>
  <c r="D65" i="2"/>
  <c r="C65" i="2" s="1"/>
  <c r="D2" i="2"/>
  <c r="C2" i="2" s="1"/>
</calcChain>
</file>

<file path=xl/sharedStrings.xml><?xml version="1.0" encoding="utf-8"?>
<sst xmlns="http://schemas.openxmlformats.org/spreadsheetml/2006/main" count="107" uniqueCount="102">
  <si>
    <t>序号</t>
  </si>
  <si>
    <t>姓名</t>
  </si>
  <si>
    <t>入学年份</t>
  </si>
  <si>
    <t>家属</t>
  </si>
  <si>
    <t>备注</t>
  </si>
  <si>
    <t>王晨</t>
  </si>
  <si>
    <t>韩双燕</t>
  </si>
  <si>
    <t>张亮</t>
  </si>
  <si>
    <t>需要退门票费用</t>
  </si>
  <si>
    <t>郅慧</t>
  </si>
  <si>
    <t>郑晓瑜</t>
  </si>
  <si>
    <t>高淼</t>
  </si>
  <si>
    <t>梅曦</t>
  </si>
  <si>
    <t>郑高明</t>
  </si>
  <si>
    <t>赵春来</t>
  </si>
  <si>
    <t>钟微波</t>
  </si>
  <si>
    <t>叶晨威</t>
  </si>
  <si>
    <t>孙律明</t>
  </si>
  <si>
    <t>一小（4岁）</t>
  </si>
  <si>
    <t>荆海量</t>
  </si>
  <si>
    <t>应炳杰</t>
  </si>
  <si>
    <t>冯宗颖</t>
  </si>
  <si>
    <t>陈廷雯</t>
  </si>
  <si>
    <t>张毅</t>
  </si>
  <si>
    <t>叶成红</t>
  </si>
  <si>
    <t>徐鸿乾</t>
  </si>
  <si>
    <t>陆重阳</t>
  </si>
  <si>
    <t>郝冬艳</t>
  </si>
  <si>
    <t>吴魁</t>
  </si>
  <si>
    <t>汪天华</t>
  </si>
  <si>
    <t>劳建辉</t>
  </si>
  <si>
    <t>王夕寅</t>
  </si>
  <si>
    <t>王海波</t>
  </si>
  <si>
    <t>王红霞</t>
  </si>
  <si>
    <t>陈沉</t>
  </si>
  <si>
    <t>叶燕华</t>
  </si>
  <si>
    <t>许欢欢</t>
  </si>
  <si>
    <t>李进维</t>
  </si>
  <si>
    <t>张鑫</t>
  </si>
  <si>
    <t>王强</t>
  </si>
  <si>
    <t>冯柏沄</t>
  </si>
  <si>
    <t>孙萌</t>
  </si>
  <si>
    <t>廖桂生</t>
  </si>
  <si>
    <t>研1987</t>
  </si>
  <si>
    <t>杭州高铁过来</t>
  </si>
  <si>
    <t>葛枭桀</t>
  </si>
  <si>
    <t>张洪</t>
  </si>
  <si>
    <t>王国振</t>
  </si>
  <si>
    <t>戴春生</t>
  </si>
  <si>
    <t>涂月圆</t>
  </si>
  <si>
    <t>梁亮</t>
  </si>
  <si>
    <t>家属--应依宁</t>
  </si>
  <si>
    <t>王小九</t>
  </si>
  <si>
    <t>硕2012</t>
  </si>
  <si>
    <t>罗芥</t>
  </si>
  <si>
    <t>卢裕湘</t>
  </si>
  <si>
    <t>刘潇</t>
  </si>
  <si>
    <t xml:space="preserve">邵爱花 </t>
  </si>
  <si>
    <t>王立军</t>
  </si>
  <si>
    <t>邵先供</t>
  </si>
  <si>
    <t>田红心</t>
  </si>
  <si>
    <t>崔振红</t>
  </si>
  <si>
    <t>韩光</t>
  </si>
  <si>
    <t>罗大大</t>
  </si>
  <si>
    <t>金大大</t>
  </si>
  <si>
    <t>沈涛</t>
  </si>
  <si>
    <t>游戏嘉宾</t>
  </si>
  <si>
    <t>张玉民</t>
  </si>
  <si>
    <t>正骨嘉宾，张毅师兄接</t>
  </si>
  <si>
    <t>3岁</t>
    <phoneticPr fontId="2" type="noConversion"/>
  </si>
  <si>
    <t>6岁</t>
    <phoneticPr fontId="2" type="noConversion"/>
  </si>
  <si>
    <t>钟微波的丈夫</t>
    <phoneticPr fontId="2" type="noConversion"/>
  </si>
  <si>
    <t>4岁</t>
    <phoneticPr fontId="2" type="noConversion"/>
  </si>
  <si>
    <t>叶晨威的妻子</t>
    <phoneticPr fontId="2" type="noConversion"/>
  </si>
  <si>
    <t>5岁</t>
    <phoneticPr fontId="2" type="noConversion"/>
  </si>
  <si>
    <t>7岁</t>
    <phoneticPr fontId="2" type="noConversion"/>
  </si>
  <si>
    <t>12岁</t>
    <phoneticPr fontId="2" type="noConversion"/>
  </si>
  <si>
    <t>2岁</t>
    <phoneticPr fontId="2" type="noConversion"/>
  </si>
  <si>
    <t>搭李进维车</t>
  </si>
  <si>
    <t>8岁</t>
    <phoneticPr fontId="2" type="noConversion"/>
  </si>
  <si>
    <t>徐凯</t>
    <phoneticPr fontId="2" type="noConversion"/>
  </si>
  <si>
    <t>5岁</t>
    <phoneticPr fontId="2" type="noConversion"/>
  </si>
  <si>
    <t>黄依波</t>
    <phoneticPr fontId="2" type="noConversion"/>
  </si>
  <si>
    <t>8岁</t>
    <phoneticPr fontId="2" type="noConversion"/>
  </si>
  <si>
    <t>冯波</t>
    <phoneticPr fontId="2" type="noConversion"/>
  </si>
  <si>
    <t>韩双燕的小孩</t>
    <phoneticPr fontId="2" type="noConversion"/>
  </si>
  <si>
    <t>韩双燕的家属</t>
    <phoneticPr fontId="2" type="noConversion"/>
  </si>
  <si>
    <t>钟微波的小孩</t>
    <phoneticPr fontId="2" type="noConversion"/>
  </si>
  <si>
    <t>孙律明的小孩</t>
    <phoneticPr fontId="2" type="noConversion"/>
  </si>
  <si>
    <t>孙律明的家属</t>
    <phoneticPr fontId="2" type="noConversion"/>
  </si>
  <si>
    <t>郝冬艳的小孩1</t>
    <phoneticPr fontId="2" type="noConversion"/>
  </si>
  <si>
    <t>郝冬艳的小孩2</t>
    <phoneticPr fontId="2" type="noConversion"/>
  </si>
  <si>
    <t>王夕寅的小孩</t>
    <phoneticPr fontId="2" type="noConversion"/>
  </si>
  <si>
    <t>陈沉的小孩</t>
    <phoneticPr fontId="2" type="noConversion"/>
  </si>
  <si>
    <t>陈沉的家属</t>
    <phoneticPr fontId="2" type="noConversion"/>
  </si>
  <si>
    <t>叶燕华的小孩</t>
    <phoneticPr fontId="2" type="noConversion"/>
  </si>
  <si>
    <t>张洪的家属</t>
    <phoneticPr fontId="2" type="noConversion"/>
  </si>
  <si>
    <t>徐凯的小孩</t>
    <phoneticPr fontId="2" type="noConversion"/>
  </si>
  <si>
    <t>黄依波的小孩</t>
    <phoneticPr fontId="2" type="noConversion"/>
  </si>
  <si>
    <t>黄依波的家属</t>
    <phoneticPr fontId="2" type="noConversion"/>
  </si>
  <si>
    <t>冯波的小孩</t>
    <phoneticPr fontId="2" type="noConversion"/>
  </si>
  <si>
    <t>冯波的家属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</si>
</sst>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  <font>
      <sz val="10"/>
      <color rgb="FF00000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C9C7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5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/>
    </xf>
    <xf numFmtId="0" fontId="1" fillId="3" borderId="3" xfId="0" applyFont="1" applyFill="1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D157-CA5A-4799-B7F2-2F222A22B527}">
  <dimension ref="A1:U77"/>
  <sheetViews>
    <sheetView tabSelected="1" topLeftCell="A58" workbookViewId="0">
      <selection activeCell="F70" sqref="F70"/>
    </sheetView>
  </sheetViews>
  <sheetFormatPr defaultRowHeight="15"/>
  <cols>
    <col min="3" max="3" width="16.29296875" bestFit="1" customWidth="1"/>
    <col min="5" max="5" width="7.29296875" bestFit="1" customWidth="1"/>
    <col min="6" max="6" width="29.52734375" customWidth="1"/>
  </cols>
  <sheetData>
    <row r="1" spans="1:21">
      <c r="A1" s="8" t="s">
        <v>0</v>
      </c>
      <c r="B1" s="9" t="s">
        <v>1</v>
      </c>
      <c r="C1" s="9"/>
      <c r="D1" s="9"/>
      <c r="E1" s="9" t="s">
        <v>2</v>
      </c>
      <c r="F1" s="10" t="s">
        <v>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">
        <v>51</v>
      </c>
      <c r="B2" s="13" t="s">
        <v>47</v>
      </c>
      <c r="C2" s="13" t="str">
        <f>B2&amp;D2</f>
        <v>王国振79</v>
      </c>
      <c r="D2" s="13" t="str">
        <f>RIGHT(E2,2)</f>
        <v>79</v>
      </c>
      <c r="E2" s="14">
        <v>1979</v>
      </c>
      <c r="F2" s="18"/>
      <c r="G2" s="11">
        <v>1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>
      <c r="A3" s="12">
        <v>49</v>
      </c>
      <c r="B3" s="17" t="s">
        <v>46</v>
      </c>
      <c r="C3" s="13" t="str">
        <f>B3&amp;D3</f>
        <v>张洪80</v>
      </c>
      <c r="D3" s="13" t="str">
        <f>RIGHT(E3,2)</f>
        <v>80</v>
      </c>
      <c r="E3" s="14">
        <v>1980</v>
      </c>
      <c r="F3" s="18"/>
      <c r="G3" s="11">
        <v>1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2">
        <v>50</v>
      </c>
      <c r="B4" s="17" t="s">
        <v>96</v>
      </c>
      <c r="C4" s="13" t="str">
        <f>B4&amp;D4</f>
        <v>张洪的家属80</v>
      </c>
      <c r="D4" s="13" t="str">
        <f>RIGHT(E4,2)</f>
        <v>80</v>
      </c>
      <c r="E4" s="15">
        <v>1980</v>
      </c>
      <c r="F4" s="1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>
      <c r="A5" s="12">
        <v>65</v>
      </c>
      <c r="B5" s="13" t="s">
        <v>55</v>
      </c>
      <c r="C5" s="13" t="str">
        <f>B5&amp;D5</f>
        <v>卢裕湘80</v>
      </c>
      <c r="D5" s="13" t="str">
        <f>RIGHT(E5,2)</f>
        <v>80</v>
      </c>
      <c r="E5" s="14">
        <v>1980</v>
      </c>
      <c r="F5" s="18"/>
      <c r="G5" s="11">
        <v>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>
      <c r="A6" s="12">
        <v>34</v>
      </c>
      <c r="B6" s="17" t="s">
        <v>32</v>
      </c>
      <c r="C6" s="13" t="str">
        <f>B6&amp;D6</f>
        <v>王海波86</v>
      </c>
      <c r="D6" s="13" t="str">
        <f>RIGHT(E6,2)</f>
        <v>86</v>
      </c>
      <c r="E6" s="14">
        <v>1986</v>
      </c>
      <c r="F6" s="18"/>
      <c r="G6" s="11">
        <v>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>
      <c r="A7" s="12">
        <v>35</v>
      </c>
      <c r="B7" s="17" t="s">
        <v>33</v>
      </c>
      <c r="C7" s="13" t="str">
        <f>B7&amp;D7</f>
        <v>王红霞86</v>
      </c>
      <c r="D7" s="13" t="str">
        <f>RIGHT(E7,2)</f>
        <v>86</v>
      </c>
      <c r="E7" s="14">
        <v>1986</v>
      </c>
      <c r="F7" s="18"/>
      <c r="G7" s="11">
        <v>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>
      <c r="A8" s="12">
        <v>70</v>
      </c>
      <c r="B8" s="13" t="s">
        <v>60</v>
      </c>
      <c r="C8" s="13" t="str">
        <f>B8&amp;D8</f>
        <v>田红心86</v>
      </c>
      <c r="D8" s="13" t="str">
        <f>RIGHT(E8,2)</f>
        <v>86</v>
      </c>
      <c r="E8" s="14">
        <v>1986</v>
      </c>
      <c r="F8" s="18"/>
      <c r="G8" s="11">
        <v>1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>
      <c r="A9" s="12">
        <v>73</v>
      </c>
      <c r="B9" s="13" t="s">
        <v>63</v>
      </c>
      <c r="C9" s="13" t="str">
        <f>B9&amp;D9</f>
        <v>罗大大86</v>
      </c>
      <c r="D9" s="13" t="str">
        <f>RIGHT(E9,2)</f>
        <v>86</v>
      </c>
      <c r="E9" s="14">
        <v>1986</v>
      </c>
      <c r="F9" s="18"/>
      <c r="G9" s="11">
        <v>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>
      <c r="A10" s="12">
        <v>74</v>
      </c>
      <c r="B10" s="13" t="s">
        <v>64</v>
      </c>
      <c r="C10" s="13" t="str">
        <f>B10&amp;D10</f>
        <v>金大大86</v>
      </c>
      <c r="D10" s="13" t="str">
        <f>RIGHT(E10,2)</f>
        <v>86</v>
      </c>
      <c r="E10" s="14">
        <v>1986</v>
      </c>
      <c r="F10" s="18"/>
      <c r="G10" s="11">
        <v>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>
      <c r="A11" s="12">
        <v>10</v>
      </c>
      <c r="B11" s="13" t="s">
        <v>13</v>
      </c>
      <c r="C11" s="13" t="str">
        <f>B11&amp;D11</f>
        <v>郑高明87</v>
      </c>
      <c r="D11" s="13" t="str">
        <f>RIGHT(E11,2)</f>
        <v>87</v>
      </c>
      <c r="E11" s="14">
        <v>1987</v>
      </c>
      <c r="F11" s="16"/>
      <c r="G11" s="11">
        <v>1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>
      <c r="A12" s="1">
        <v>18</v>
      </c>
      <c r="B12" s="13" t="s">
        <v>19</v>
      </c>
      <c r="C12" s="13" t="str">
        <f>B12&amp;D12</f>
        <v>荆海量87</v>
      </c>
      <c r="D12" s="13" t="str">
        <f>RIGHT(E12,2)</f>
        <v>87</v>
      </c>
      <c r="E12" s="14">
        <v>1987</v>
      </c>
      <c r="F12" s="18"/>
      <c r="G12" s="11">
        <v>1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>
      <c r="A13" s="1">
        <v>30</v>
      </c>
      <c r="B13" s="13" t="s">
        <v>29</v>
      </c>
      <c r="C13" s="13" t="str">
        <f>B13&amp;D13</f>
        <v>汪天华88</v>
      </c>
      <c r="D13" s="13" t="str">
        <f>RIGHT(E13,2)</f>
        <v>88</v>
      </c>
      <c r="E13" s="14">
        <v>1988</v>
      </c>
      <c r="F13" s="18"/>
      <c r="G13" s="11">
        <v>1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>
      <c r="A14" s="12">
        <v>52</v>
      </c>
      <c r="B14" s="13" t="s">
        <v>48</v>
      </c>
      <c r="C14" s="13" t="str">
        <f>B14&amp;D14</f>
        <v>戴春生88</v>
      </c>
      <c r="D14" s="13" t="str">
        <f>RIGHT(E14,2)</f>
        <v>88</v>
      </c>
      <c r="E14" s="14">
        <v>1988</v>
      </c>
      <c r="F14" s="16"/>
      <c r="G14" s="11">
        <v>1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>
      <c r="A15" s="12">
        <v>31</v>
      </c>
      <c r="B15" s="13" t="s">
        <v>30</v>
      </c>
      <c r="C15" s="13" t="str">
        <f>B15&amp;D15</f>
        <v>劳建辉90</v>
      </c>
      <c r="D15" s="13" t="str">
        <f>RIGHT(E15,2)</f>
        <v>90</v>
      </c>
      <c r="E15" s="14">
        <v>1990</v>
      </c>
      <c r="F15" s="16"/>
      <c r="G15" s="11">
        <v>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>
      <c r="A16" s="12">
        <v>67</v>
      </c>
      <c r="B16" s="13" t="s">
        <v>57</v>
      </c>
      <c r="C16" s="13" t="str">
        <f>B16&amp;D16</f>
        <v>邵爱花 90</v>
      </c>
      <c r="D16" s="13" t="str">
        <f>RIGHT(E16,2)</f>
        <v>90</v>
      </c>
      <c r="E16" s="14">
        <v>1990</v>
      </c>
      <c r="F16" s="16"/>
      <c r="G16" s="11">
        <v>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>
      <c r="A17" s="12">
        <v>22</v>
      </c>
      <c r="B17" s="17" t="s">
        <v>23</v>
      </c>
      <c r="C17" s="13" t="str">
        <f>B17&amp;D17</f>
        <v>张毅91</v>
      </c>
      <c r="D17" s="13" t="str">
        <f>RIGHT(E17,2)</f>
        <v>91</v>
      </c>
      <c r="E17" s="14">
        <v>1991</v>
      </c>
      <c r="F17" s="18"/>
      <c r="G17" s="11">
        <v>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>
      <c r="A18" s="12">
        <v>23</v>
      </c>
      <c r="B18" s="17" t="s">
        <v>24</v>
      </c>
      <c r="C18" s="13" t="str">
        <f>B18&amp;D18</f>
        <v>叶成红91</v>
      </c>
      <c r="D18" s="13" t="str">
        <f>RIGHT(E18,2)</f>
        <v>91</v>
      </c>
      <c r="E18" s="14">
        <v>1991</v>
      </c>
      <c r="F18" s="18"/>
      <c r="G18" s="11">
        <v>1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>
      <c r="A19" s="1">
        <v>24</v>
      </c>
      <c r="B19" s="13" t="s">
        <v>25</v>
      </c>
      <c r="C19" s="13" t="str">
        <f>B19&amp;D19</f>
        <v>徐鸿乾92</v>
      </c>
      <c r="D19" s="13" t="str">
        <f>RIGHT(E19,2)</f>
        <v>92</v>
      </c>
      <c r="E19" s="14">
        <v>1992</v>
      </c>
      <c r="F19" s="18"/>
      <c r="G19" s="11">
        <v>2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2">
        <v>68</v>
      </c>
      <c r="B20" s="13" t="s">
        <v>58</v>
      </c>
      <c r="C20" s="13" t="str">
        <f>B20&amp;D20</f>
        <v>王立军92</v>
      </c>
      <c r="D20" s="13" t="str">
        <f>RIGHT(E20,2)</f>
        <v>92</v>
      </c>
      <c r="E20" s="14">
        <v>1992</v>
      </c>
      <c r="F20" s="18"/>
      <c r="G20" s="11">
        <v>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2">
        <v>20</v>
      </c>
      <c r="B21" s="13" t="s">
        <v>21</v>
      </c>
      <c r="C21" s="13" t="str">
        <f>B21&amp;D21</f>
        <v>冯宗颖94</v>
      </c>
      <c r="D21" s="13" t="str">
        <f>RIGHT(E21,2)</f>
        <v>94</v>
      </c>
      <c r="E21" s="14">
        <v>1994</v>
      </c>
      <c r="F21" s="18"/>
      <c r="G21" s="11">
        <v>2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2">
        <v>29</v>
      </c>
      <c r="B22" s="13" t="s">
        <v>28</v>
      </c>
      <c r="C22" s="13" t="str">
        <f>B22&amp;D22</f>
        <v>吴魁94</v>
      </c>
      <c r="D22" s="13" t="str">
        <f>RIGHT(E22,2)</f>
        <v>94</v>
      </c>
      <c r="E22" s="14">
        <v>1994</v>
      </c>
      <c r="F22" s="18"/>
      <c r="G22" s="11">
        <v>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">
        <v>66</v>
      </c>
      <c r="B23" s="13" t="s">
        <v>56</v>
      </c>
      <c r="C23" s="13" t="str">
        <f>B23&amp;D23</f>
        <v>刘潇95</v>
      </c>
      <c r="D23" s="13" t="str">
        <f>RIGHT(E23,2)</f>
        <v>95</v>
      </c>
      <c r="E23" s="14">
        <v>1995</v>
      </c>
      <c r="F23" s="16"/>
      <c r="G23" s="11">
        <v>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2">
        <v>25</v>
      </c>
      <c r="B24" s="13" t="s">
        <v>26</v>
      </c>
      <c r="C24" s="13" t="str">
        <f>B24&amp;D24</f>
        <v>陆重阳96</v>
      </c>
      <c r="D24" s="13" t="str">
        <f>RIGHT(E24,2)</f>
        <v>96</v>
      </c>
      <c r="E24" s="14">
        <v>1996</v>
      </c>
      <c r="F24" s="18"/>
      <c r="G24" s="11">
        <v>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2">
        <v>44</v>
      </c>
      <c r="B25" s="13" t="s">
        <v>39</v>
      </c>
      <c r="C25" s="13" t="str">
        <f>B25&amp;D25</f>
        <v>王强97</v>
      </c>
      <c r="D25" s="13" t="str">
        <f>RIGHT(E25,2)</f>
        <v>97</v>
      </c>
      <c r="E25" s="14">
        <v>1997</v>
      </c>
      <c r="F25" s="18"/>
      <c r="G25" s="11">
        <v>2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">
        <v>69</v>
      </c>
      <c r="B26" s="13" t="s">
        <v>59</v>
      </c>
      <c r="C26" s="13" t="str">
        <f>B26&amp;D26</f>
        <v>邵先供97</v>
      </c>
      <c r="D26" s="13" t="str">
        <f>RIGHT(E26,2)</f>
        <v>97</v>
      </c>
      <c r="E26" s="14">
        <v>1997</v>
      </c>
      <c r="F26" s="16"/>
      <c r="G26" s="11">
        <v>2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2">
        <v>71</v>
      </c>
      <c r="B27" s="13" t="s">
        <v>61</v>
      </c>
      <c r="C27" s="13" t="str">
        <f>B27&amp;D27</f>
        <v>崔振红98</v>
      </c>
      <c r="D27" s="13" t="str">
        <f>RIGHT(E27,2)</f>
        <v>98</v>
      </c>
      <c r="E27" s="14">
        <v>1998</v>
      </c>
      <c r="F27" s="18"/>
      <c r="G27" s="11">
        <v>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2">
        <v>19</v>
      </c>
      <c r="B28" s="13" t="s">
        <v>20</v>
      </c>
      <c r="C28" s="13" t="str">
        <f>B28&amp;D28</f>
        <v>应炳杰99</v>
      </c>
      <c r="D28" s="13" t="str">
        <f>RIGHT(E28,2)</f>
        <v>99</v>
      </c>
      <c r="E28" s="14">
        <v>1999</v>
      </c>
      <c r="F28" s="18"/>
      <c r="G28" s="11">
        <v>2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2">
        <v>26</v>
      </c>
      <c r="B29" s="13" t="s">
        <v>27</v>
      </c>
      <c r="C29" s="13" t="str">
        <f>B29&amp;D29</f>
        <v>郝冬艳99</v>
      </c>
      <c r="D29" s="13" t="str">
        <f>RIGHT(E29,2)</f>
        <v>99</v>
      </c>
      <c r="E29" s="14">
        <v>1999</v>
      </c>
      <c r="F29" s="16"/>
      <c r="G29" s="11">
        <v>2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">
        <v>72</v>
      </c>
      <c r="B30" s="13" t="s">
        <v>62</v>
      </c>
      <c r="C30" s="13" t="str">
        <f>B30&amp;D30</f>
        <v>韩光01</v>
      </c>
      <c r="D30" s="13" t="str">
        <f>RIGHT(E30,2)</f>
        <v>01</v>
      </c>
      <c r="E30" s="14">
        <v>2001</v>
      </c>
      <c r="F30" s="18"/>
      <c r="G30" s="11">
        <v>2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2">
        <v>8</v>
      </c>
      <c r="B31" s="17" t="s">
        <v>11</v>
      </c>
      <c r="C31" s="13" t="str">
        <f>B31&amp;D31</f>
        <v>高淼03</v>
      </c>
      <c r="D31" s="13" t="str">
        <f>RIGHT(E31,2)</f>
        <v>03</v>
      </c>
      <c r="E31" s="14">
        <v>2003</v>
      </c>
      <c r="F31" s="16"/>
      <c r="G31" s="11">
        <v>2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">
        <v>9</v>
      </c>
      <c r="B32" s="17" t="s">
        <v>12</v>
      </c>
      <c r="C32" s="13" t="str">
        <f>B32&amp;D32</f>
        <v>梅曦03</v>
      </c>
      <c r="D32" s="13" t="str">
        <f>RIGHT(E32,2)</f>
        <v>03</v>
      </c>
      <c r="E32" s="14">
        <v>2003</v>
      </c>
      <c r="F32" s="18"/>
      <c r="G32" s="11">
        <v>2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2">
        <v>11</v>
      </c>
      <c r="B33" s="13" t="s">
        <v>14</v>
      </c>
      <c r="C33" s="13" t="str">
        <f>B33&amp;D33</f>
        <v>赵春来03</v>
      </c>
      <c r="D33" s="13" t="str">
        <f>RIGHT(E33,2)</f>
        <v>03</v>
      </c>
      <c r="E33" s="14">
        <v>2003</v>
      </c>
      <c r="F33" s="18"/>
      <c r="G33" s="11">
        <v>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2">
        <v>43</v>
      </c>
      <c r="B34" s="13" t="s">
        <v>38</v>
      </c>
      <c r="C34" s="13" t="str">
        <f>B34&amp;D34</f>
        <v>张鑫03</v>
      </c>
      <c r="D34" s="13" t="str">
        <f>RIGHT(E34,2)</f>
        <v>03</v>
      </c>
      <c r="E34" s="14">
        <v>2003</v>
      </c>
      <c r="F34" s="18"/>
      <c r="G34" s="11">
        <v>3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">
        <v>48</v>
      </c>
      <c r="B35" s="13" t="s">
        <v>45</v>
      </c>
      <c r="C35" s="13" t="str">
        <f>B35&amp;D35</f>
        <v>葛枭桀03</v>
      </c>
      <c r="D35" s="13" t="str">
        <f>RIGHT(E35,2)</f>
        <v>03</v>
      </c>
      <c r="E35" s="14">
        <v>2003</v>
      </c>
      <c r="F35" s="18"/>
      <c r="G35" s="11">
        <v>3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">
        <v>54</v>
      </c>
      <c r="B36" s="13" t="s">
        <v>50</v>
      </c>
      <c r="C36" s="13" t="str">
        <f>B36&amp;D36</f>
        <v>梁亮03</v>
      </c>
      <c r="D36" s="13" t="str">
        <f>RIGHT(E36,2)</f>
        <v>03</v>
      </c>
      <c r="E36" s="14">
        <v>2003</v>
      </c>
      <c r="F36" s="18"/>
      <c r="G36" s="11">
        <v>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">
        <v>21</v>
      </c>
      <c r="B37" s="13" t="s">
        <v>22</v>
      </c>
      <c r="C37" s="13" t="str">
        <f>B37&amp;D37</f>
        <v>陈廷雯04</v>
      </c>
      <c r="D37" s="13" t="str">
        <f>RIGHT(E37,2)</f>
        <v>04</v>
      </c>
      <c r="E37" s="14">
        <v>2004</v>
      </c>
      <c r="F37" s="16"/>
      <c r="G37" s="11">
        <v>3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A38" s="12">
        <v>41</v>
      </c>
      <c r="B38" s="13" t="s">
        <v>36</v>
      </c>
      <c r="C38" s="13" t="str">
        <f>B38&amp;D38</f>
        <v>许欢欢04</v>
      </c>
      <c r="D38" s="13" t="str">
        <f>RIGHT(E38,2)</f>
        <v>04</v>
      </c>
      <c r="E38" s="14">
        <v>2004</v>
      </c>
      <c r="F38" s="18"/>
      <c r="G38" s="11">
        <v>3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A39" s="12">
        <v>2</v>
      </c>
      <c r="B39" s="17" t="s">
        <v>6</v>
      </c>
      <c r="C39" s="13" t="str">
        <f>B39&amp;D39</f>
        <v>韩双燕05</v>
      </c>
      <c r="D39" s="13" t="str">
        <f>RIGHT(E39,2)</f>
        <v>05</v>
      </c>
      <c r="E39" s="14">
        <v>2005</v>
      </c>
      <c r="F39" s="16"/>
      <c r="G39" s="11">
        <v>3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A40" s="12">
        <v>4</v>
      </c>
      <c r="B40" s="17" t="s">
        <v>86</v>
      </c>
      <c r="C40" s="13" t="str">
        <f>B40&amp;D40</f>
        <v>韩双燕的家属05</v>
      </c>
      <c r="D40" s="13" t="str">
        <f>RIGHT(E40,2)</f>
        <v>05</v>
      </c>
      <c r="E40" s="14">
        <v>2005</v>
      </c>
      <c r="F40" s="3" t="s">
        <v>3</v>
      </c>
      <c r="G40" s="11">
        <v>3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2">
        <v>14</v>
      </c>
      <c r="B41" s="17" t="s">
        <v>16</v>
      </c>
      <c r="C41" s="13" t="str">
        <f>B41&amp;D41</f>
        <v>叶晨威05</v>
      </c>
      <c r="D41" s="13" t="str">
        <f>RIGHT(E41,2)</f>
        <v>05</v>
      </c>
      <c r="E41" s="14">
        <v>2005</v>
      </c>
      <c r="F41" s="5" t="s">
        <v>71</v>
      </c>
      <c r="G41" s="11">
        <v>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>
      <c r="A42" s="12">
        <v>32</v>
      </c>
      <c r="B42" s="13" t="s">
        <v>31</v>
      </c>
      <c r="C42" s="13" t="str">
        <f>B42&amp;D42</f>
        <v>王夕寅05</v>
      </c>
      <c r="D42" s="13" t="str">
        <f>RIGHT(E42,2)</f>
        <v>05</v>
      </c>
      <c r="E42" s="14">
        <v>2005</v>
      </c>
      <c r="F42" s="16"/>
      <c r="G42" s="11">
        <v>3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>
      <c r="A43" s="1">
        <v>39</v>
      </c>
      <c r="B43" s="13" t="s">
        <v>35</v>
      </c>
      <c r="C43" s="13" t="str">
        <f>B43&amp;D43</f>
        <v>叶燕华06</v>
      </c>
      <c r="D43" s="13" t="str">
        <f>RIGHT(E43,2)</f>
        <v>06</v>
      </c>
      <c r="E43" s="14">
        <v>2006</v>
      </c>
      <c r="F43" s="16"/>
      <c r="G43" s="11">
        <v>3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>
      <c r="A44" s="12">
        <v>5</v>
      </c>
      <c r="B44" s="13" t="s">
        <v>7</v>
      </c>
      <c r="C44" s="13" t="str">
        <f>B44&amp;D44</f>
        <v>张亮07</v>
      </c>
      <c r="D44" s="13" t="str">
        <f>RIGHT(E44,2)</f>
        <v>07</v>
      </c>
      <c r="E44" s="14">
        <v>2007</v>
      </c>
      <c r="F44" s="16"/>
      <c r="G44" s="11">
        <v>4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>
      <c r="A45" s="1">
        <v>12</v>
      </c>
      <c r="B45" s="17" t="s">
        <v>15</v>
      </c>
      <c r="C45" s="13" t="str">
        <f>B45&amp;D45</f>
        <v>钟微波07</v>
      </c>
      <c r="D45" s="13" t="str">
        <f>RIGHT(E45,2)</f>
        <v>07</v>
      </c>
      <c r="E45" s="14">
        <v>2007</v>
      </c>
      <c r="F45" s="5" t="s">
        <v>73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>
      <c r="A46" s="1">
        <v>15</v>
      </c>
      <c r="B46" s="17" t="s">
        <v>17</v>
      </c>
      <c r="C46" s="13" t="str">
        <f>B46&amp;D46</f>
        <v>孙律明07</v>
      </c>
      <c r="D46" s="13" t="str">
        <f>RIGHT(E46,2)</f>
        <v>07</v>
      </c>
      <c r="E46" s="14">
        <v>2007</v>
      </c>
      <c r="F46" s="16" t="s">
        <v>18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>
      <c r="A47" s="12">
        <v>17</v>
      </c>
      <c r="B47" s="17" t="s">
        <v>89</v>
      </c>
      <c r="C47" s="13" t="str">
        <f>B47&amp;D47</f>
        <v>孙律明的家属07</v>
      </c>
      <c r="D47" s="13" t="str">
        <f>RIGHT(E47,2)</f>
        <v>07</v>
      </c>
      <c r="E47" s="15">
        <v>2007</v>
      </c>
      <c r="F47" s="3" t="s">
        <v>3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>
      <c r="A48" s="1">
        <v>36</v>
      </c>
      <c r="B48" s="17" t="s">
        <v>34</v>
      </c>
      <c r="C48" s="13" t="str">
        <f>B48&amp;D48</f>
        <v>陈沉07</v>
      </c>
      <c r="D48" s="13" t="str">
        <f>RIGHT(E48,2)</f>
        <v>07</v>
      </c>
      <c r="E48" s="14">
        <v>2007</v>
      </c>
      <c r="F48" s="16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>
      <c r="A49" s="12">
        <v>38</v>
      </c>
      <c r="B49" s="17" t="s">
        <v>94</v>
      </c>
      <c r="C49" s="13" t="str">
        <f>B49&amp;D49</f>
        <v>陈沉的家属07</v>
      </c>
      <c r="D49" s="13" t="str">
        <f>RIGHT(E49,2)</f>
        <v>07</v>
      </c>
      <c r="E49" s="15">
        <v>2007</v>
      </c>
      <c r="F49" s="16" t="s">
        <v>3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>
      <c r="A50" s="12">
        <v>64</v>
      </c>
      <c r="B50" s="13" t="s">
        <v>54</v>
      </c>
      <c r="C50" s="13" t="str">
        <f>B50&amp;D50</f>
        <v>罗芥07</v>
      </c>
      <c r="D50" s="13" t="str">
        <f>RIGHT(E50,2)</f>
        <v>07</v>
      </c>
      <c r="E50" s="14">
        <v>2007</v>
      </c>
      <c r="F50" s="18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>
      <c r="A51" s="1">
        <v>75</v>
      </c>
      <c r="B51" s="13" t="s">
        <v>65</v>
      </c>
      <c r="C51" s="13" t="str">
        <f>B51&amp;D51</f>
        <v>沈涛07</v>
      </c>
      <c r="D51" s="13" t="str">
        <f>RIGHT(E51,2)</f>
        <v>07</v>
      </c>
      <c r="E51" s="15">
        <v>2007</v>
      </c>
      <c r="F51" s="16" t="s">
        <v>66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>
      <c r="A52" s="12">
        <v>76</v>
      </c>
      <c r="B52" s="13" t="s">
        <v>67</v>
      </c>
      <c r="C52" s="13" t="str">
        <f>B52&amp;D52</f>
        <v>张玉民07</v>
      </c>
      <c r="D52" s="13" t="str">
        <f>RIGHT(E52,2)</f>
        <v>07</v>
      </c>
      <c r="E52" s="15">
        <v>2007</v>
      </c>
      <c r="F52" s="16" t="s">
        <v>68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>
      <c r="A53" s="12">
        <v>55</v>
      </c>
      <c r="B53" s="13" t="s">
        <v>80</v>
      </c>
      <c r="C53" s="13" t="str">
        <f>B53&amp;D53</f>
        <v>徐凯08</v>
      </c>
      <c r="D53" s="13" t="str">
        <f>RIGHT(E53,2)</f>
        <v>08</v>
      </c>
      <c r="E53" s="14">
        <v>2008</v>
      </c>
      <c r="F53" s="16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>
      <c r="A54" s="1">
        <v>57</v>
      </c>
      <c r="B54" s="17" t="s">
        <v>82</v>
      </c>
      <c r="C54" s="13" t="str">
        <f>B54&amp;D54</f>
        <v>黄依波08</v>
      </c>
      <c r="D54" s="13" t="str">
        <f>RIGHT(E54,2)</f>
        <v>08</v>
      </c>
      <c r="E54" s="14">
        <v>2008</v>
      </c>
      <c r="F54" s="1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>
      <c r="A55" s="12">
        <v>59</v>
      </c>
      <c r="B55" s="17" t="s">
        <v>99</v>
      </c>
      <c r="C55" s="13" t="str">
        <f>B55&amp;D55</f>
        <v>黄依波的家属08</v>
      </c>
      <c r="D55" s="13" t="str">
        <f>RIGHT(E55,2)</f>
        <v>08</v>
      </c>
      <c r="E55" s="15">
        <v>2008</v>
      </c>
      <c r="F55" s="16" t="s">
        <v>51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>
      <c r="A56" s="1">
        <v>60</v>
      </c>
      <c r="B56" s="13" t="s">
        <v>52</v>
      </c>
      <c r="C56" s="13" t="str">
        <f>B56&amp;D56</f>
        <v>王小九08</v>
      </c>
      <c r="D56" s="13" t="str">
        <f>RIGHT(E56,2)</f>
        <v>08</v>
      </c>
      <c r="E56" s="14">
        <v>2008</v>
      </c>
      <c r="F56" s="18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>
      <c r="A57" s="12">
        <v>53</v>
      </c>
      <c r="B57" s="13" t="s">
        <v>49</v>
      </c>
      <c r="C57" s="13" t="str">
        <f>B57&amp;D57</f>
        <v>涂月圆10</v>
      </c>
      <c r="D57" s="13" t="str">
        <f>RIGHT(E57,2)</f>
        <v>10</v>
      </c>
      <c r="E57" s="14">
        <v>2010</v>
      </c>
      <c r="F57" s="16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>
      <c r="A58" s="12">
        <v>1</v>
      </c>
      <c r="B58" s="13" t="s">
        <v>5</v>
      </c>
      <c r="C58" s="13" t="str">
        <f>B58&amp;D58</f>
        <v>王晨16</v>
      </c>
      <c r="D58" s="13" t="str">
        <f>RIGHT(E58,2)</f>
        <v>16</v>
      </c>
      <c r="E58" s="14">
        <v>2016</v>
      </c>
      <c r="F58" s="16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>
      <c r="A59" s="12">
        <v>7</v>
      </c>
      <c r="B59" s="13" t="s">
        <v>10</v>
      </c>
      <c r="C59" s="13" t="str">
        <f>B59&amp;D59</f>
        <v>郑晓瑜21</v>
      </c>
      <c r="D59" s="13" t="str">
        <f>RIGHT(E59,2)</f>
        <v>21</v>
      </c>
      <c r="E59" s="14">
        <v>2021</v>
      </c>
      <c r="F59" s="16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>
      <c r="A60" s="1">
        <v>45</v>
      </c>
      <c r="B60" s="13" t="s">
        <v>40</v>
      </c>
      <c r="C60" s="13" t="str">
        <f>B60&amp;D60</f>
        <v>冯柏沄21</v>
      </c>
      <c r="D60" s="13" t="str">
        <f>RIGHT(E60,2)</f>
        <v>21</v>
      </c>
      <c r="E60" s="14">
        <v>2021</v>
      </c>
      <c r="F60" s="16" t="s">
        <v>78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>
      <c r="A61" s="12">
        <v>46</v>
      </c>
      <c r="B61" s="13" t="s">
        <v>41</v>
      </c>
      <c r="C61" s="13" t="str">
        <f>B61&amp;D61</f>
        <v>孙萌21</v>
      </c>
      <c r="D61" s="13" t="str">
        <f>RIGHT(E61,2)</f>
        <v>21</v>
      </c>
      <c r="E61" s="14">
        <v>2021</v>
      </c>
      <c r="F61" s="18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>
      <c r="A62" s="1">
        <v>6</v>
      </c>
      <c r="B62" s="21" t="s">
        <v>9</v>
      </c>
      <c r="C62" s="13" t="str">
        <f>B62&amp;D62</f>
        <v>郅慧22</v>
      </c>
      <c r="D62" s="13" t="str">
        <f>RIGHT(E62,2)</f>
        <v>22</v>
      </c>
      <c r="E62" s="20">
        <v>2022</v>
      </c>
      <c r="F62" s="2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>
      <c r="A63" s="1">
        <v>42</v>
      </c>
      <c r="B63" s="21" t="s">
        <v>37</v>
      </c>
      <c r="C63" s="13" t="str">
        <f>B63&amp;D63</f>
        <v>李进维23</v>
      </c>
      <c r="D63" s="13" t="str">
        <f>RIGHT(E63,2)</f>
        <v>23</v>
      </c>
      <c r="E63" s="20">
        <v>2023</v>
      </c>
      <c r="F63" s="22" t="s">
        <v>8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>
      <c r="A64" s="12">
        <v>61</v>
      </c>
      <c r="B64" s="17" t="s">
        <v>84</v>
      </c>
      <c r="C64" s="13" t="str">
        <f>B64&amp;D64</f>
        <v>冯波12</v>
      </c>
      <c r="D64" s="13" t="str">
        <f>RIGHT(E64,2)</f>
        <v>12</v>
      </c>
      <c r="E64" s="21" t="s">
        <v>53</v>
      </c>
      <c r="F64" s="1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>
      <c r="A65" s="1">
        <v>63</v>
      </c>
      <c r="B65" s="17" t="s">
        <v>101</v>
      </c>
      <c r="C65" s="13" t="str">
        <f>B65&amp;D65</f>
        <v>冯波的家属12</v>
      </c>
      <c r="D65" s="13" t="str">
        <f>RIGHT(E65,2)</f>
        <v>12</v>
      </c>
      <c r="E65" s="13" t="s">
        <v>53</v>
      </c>
      <c r="F65" s="16" t="s">
        <v>3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>
      <c r="A66" s="12">
        <v>47</v>
      </c>
      <c r="B66" s="13" t="s">
        <v>42</v>
      </c>
      <c r="C66" s="13" t="str">
        <f>B66&amp;D66</f>
        <v>廖桂生87</v>
      </c>
      <c r="D66" s="13" t="str">
        <f>RIGHT(E66,2)</f>
        <v>87</v>
      </c>
      <c r="E66" s="13" t="s">
        <v>43</v>
      </c>
      <c r="F66" s="16" t="s">
        <v>44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>
      <c r="A67" s="1">
        <v>3</v>
      </c>
      <c r="B67" s="4" t="s">
        <v>85</v>
      </c>
      <c r="C67" s="13" t="str">
        <f>B67&amp;D67&amp;"("&amp;F67&amp;")"</f>
        <v>韩双燕的小孩(3岁)</v>
      </c>
      <c r="D67" s="13" t="str">
        <f>RIGHT(E67,2)</f>
        <v/>
      </c>
      <c r="E67" s="2"/>
      <c r="F67" s="5" t="s">
        <v>69</v>
      </c>
    </row>
    <row r="68" spans="1:21">
      <c r="A68" s="12">
        <v>13</v>
      </c>
      <c r="B68" s="4" t="s">
        <v>87</v>
      </c>
      <c r="C68" s="13" t="str">
        <f t="shared" ref="C68:C77" si="0">B68&amp;D68&amp;"("&amp;F68&amp;")"</f>
        <v>钟微波的小孩(6岁)</v>
      </c>
      <c r="D68" s="13" t="str">
        <f>RIGHT(E68,2)</f>
        <v/>
      </c>
      <c r="E68" s="2"/>
      <c r="F68" s="5" t="s">
        <v>70</v>
      </c>
    </row>
    <row r="69" spans="1:21">
      <c r="A69" s="12">
        <v>16</v>
      </c>
      <c r="B69" s="24" t="s">
        <v>88</v>
      </c>
      <c r="C69" s="13" t="str">
        <f t="shared" si="0"/>
        <v>孙律明的小孩(4岁)</v>
      </c>
      <c r="D69" s="13" t="str">
        <f>RIGHT(E69,2)</f>
        <v/>
      </c>
      <c r="E69" s="26"/>
      <c r="F69" s="28" t="s">
        <v>72</v>
      </c>
    </row>
    <row r="70" spans="1:21">
      <c r="A70" s="1">
        <v>27</v>
      </c>
      <c r="B70" s="6" t="s">
        <v>90</v>
      </c>
      <c r="C70" s="13" t="str">
        <f t="shared" si="0"/>
        <v>郝冬艳的小孩1(7岁)</v>
      </c>
      <c r="D70" s="13" t="str">
        <f>RIGHT(E70,2)</f>
        <v/>
      </c>
      <c r="E70" s="2"/>
      <c r="F70" s="5" t="s">
        <v>75</v>
      </c>
    </row>
    <row r="71" spans="1:21">
      <c r="A71" s="12">
        <v>28</v>
      </c>
      <c r="B71" s="25" t="s">
        <v>91</v>
      </c>
      <c r="C71" s="13" t="str">
        <f t="shared" si="0"/>
        <v>郝冬艳的小孩2(12岁)</v>
      </c>
      <c r="D71" s="13" t="str">
        <f>RIGHT(E71,2)</f>
        <v/>
      </c>
      <c r="E71" s="27"/>
      <c r="F71" s="29" t="s">
        <v>76</v>
      </c>
    </row>
    <row r="72" spans="1:21">
      <c r="A72" s="1">
        <v>33</v>
      </c>
      <c r="B72" s="7" t="s">
        <v>92</v>
      </c>
      <c r="C72" s="13" t="str">
        <f t="shared" si="0"/>
        <v>王夕寅的小孩(5岁)</v>
      </c>
      <c r="D72" s="13" t="str">
        <f>RIGHT(E72,2)</f>
        <v/>
      </c>
      <c r="E72" s="2"/>
      <c r="F72" s="5" t="s">
        <v>74</v>
      </c>
    </row>
    <row r="73" spans="1:21">
      <c r="A73" s="12">
        <v>37</v>
      </c>
      <c r="B73" s="24" t="s">
        <v>93</v>
      </c>
      <c r="C73" s="13" t="str">
        <f t="shared" si="0"/>
        <v>陈沉的小孩(2岁)</v>
      </c>
      <c r="D73" s="13" t="str">
        <f>RIGHT(E73,2)</f>
        <v/>
      </c>
      <c r="E73" s="26"/>
      <c r="F73" s="28" t="s">
        <v>77</v>
      </c>
    </row>
    <row r="74" spans="1:21">
      <c r="A74" s="12">
        <v>40</v>
      </c>
      <c r="B74" s="6" t="s">
        <v>95</v>
      </c>
      <c r="C74" s="13" t="str">
        <f t="shared" si="0"/>
        <v>叶燕华的小孩(8岁)</v>
      </c>
      <c r="D74" s="13" t="str">
        <f>RIGHT(E74,2)</f>
        <v/>
      </c>
      <c r="E74" s="27"/>
      <c r="F74" s="5" t="s">
        <v>79</v>
      </c>
    </row>
    <row r="75" spans="1:21">
      <c r="A75" s="12">
        <v>56</v>
      </c>
      <c r="B75" s="13" t="s">
        <v>97</v>
      </c>
      <c r="C75" s="13" t="str">
        <f t="shared" si="0"/>
        <v>徐凯的小孩(5岁)</v>
      </c>
      <c r="D75" s="13" t="str">
        <f>RIGHT(E75,2)</f>
        <v/>
      </c>
      <c r="E75" s="23"/>
      <c r="F75" s="16" t="s">
        <v>81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>
      <c r="A76" s="12">
        <v>58</v>
      </c>
      <c r="B76" s="19" t="s">
        <v>98</v>
      </c>
      <c r="C76" s="13" t="str">
        <f t="shared" si="0"/>
        <v>黄依波的小孩(8岁)</v>
      </c>
      <c r="D76" s="13" t="str">
        <f>RIGHT(E76,2)</f>
        <v/>
      </c>
      <c r="E76" s="20"/>
      <c r="F76" s="22" t="s">
        <v>83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>
      <c r="A77" s="12">
        <v>62</v>
      </c>
      <c r="B77" s="17" t="s">
        <v>100</v>
      </c>
      <c r="C77" s="13" t="str">
        <f t="shared" si="0"/>
        <v>冯波的小孩(5岁)</v>
      </c>
      <c r="D77" s="13" t="str">
        <f>RIGHT(E77,2)</f>
        <v/>
      </c>
      <c r="E77" s="13"/>
      <c r="F77" s="16" t="s">
        <v>81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</sheetData>
  <autoFilter ref="A1:U1" xr:uid="{B089D157-CA5A-4799-B7F2-2F222A22B527}">
    <sortState xmlns:xlrd2="http://schemas.microsoft.com/office/spreadsheetml/2017/richdata2" ref="A2:U77">
      <sortCondition ref="E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Chen</cp:lastModifiedBy>
  <dcterms:created xsi:type="dcterms:W3CDTF">2026-01-28T17:12:52Z</dcterms:created>
  <dcterms:modified xsi:type="dcterms:W3CDTF">2026-01-29T08:37:19Z</dcterms:modified>
</cp:coreProperties>
</file>